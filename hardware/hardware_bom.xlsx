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ILIM_Calculator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<sst xmlns="http://schemas.openxmlformats.org/spreadsheetml/2006/main" count="101" uniqueCount="95">
  <si>
    <t xml:space="preserve">Part Number</t>
  </si>
  <si>
    <t xml:space="preserve">Description</t>
  </si>
  <si>
    <t xml:space="preserve">Quantity</t>
  </si>
  <si>
    <t xml:space="preserve">Unit Cost</t>
  </si>
  <si>
    <t xml:space="preserve">Total Cost</t>
  </si>
  <si>
    <t xml:space="preserve">Part Link</t>
  </si>
  <si>
    <t xml:space="preserve">alternate</t>
  </si>
  <si>
    <t xml:space="preserve">MSD-11-A</t>
  </si>
  <si>
    <t xml:space="preserve">micro sd card slot</t>
  </si>
  <si>
    <t xml:space="preserve">https://www.digikey.com/en/products/detail/same-sky-formerly-cui-devices/MSD-11-A/21798680</t>
  </si>
  <si>
    <t xml:space="preserve">https://www.digikey.com/short/59jf1dn5</t>
  </si>
  <si>
    <t xml:space="preserve">RA1113112R</t>
  </si>
  <si>
    <t xml:space="preserve">switch rocker</t>
  </si>
  <si>
    <t xml:space="preserve">https://www.digikey.com/short/79brjhhr</t>
  </si>
  <si>
    <t xml:space="preserve">ESP32-S3-WROOM-1-N8R8</t>
  </si>
  <si>
    <t xml:space="preserve">2-core, 8MB flash, 8MB psram</t>
  </si>
  <si>
    <t xml:space="preserve">https://www.digikey.com/short/rq9wzm27</t>
  </si>
  <si>
    <t xml:space="preserve">MAX98357AETE+T</t>
  </si>
  <si>
    <t xml:space="preserve">Class D Amplifier</t>
  </si>
  <si>
    <t xml:space="preserve">https://www.digikey.com/short/4r0bndff</t>
  </si>
  <si>
    <t xml:space="preserve">PCA9955BTWJ</t>
  </si>
  <si>
    <t xml:space="preserve">led driver, 16output</t>
  </si>
  <si>
    <t xml:space="preserve">BQ25616JRTWR</t>
  </si>
  <si>
    <t xml:space="preserve">battery charger, 3A max, 4.4V max battery pack voltage, built-in power path management</t>
  </si>
  <si>
    <t xml:space="preserve">https://www.digikey.com/short/pm4rdwd2</t>
  </si>
  <si>
    <t xml:space="preserve">TSD05DYFR</t>
  </si>
  <si>
    <t xml:space="preserve">TVS Diode, 6v breakdown, 9v clamp, 5.5v standoff, 60A peak</t>
  </si>
  <si>
    <t xml:space="preserve">https://www.digikey.com/short/8z84d0zd</t>
  </si>
  <si>
    <t xml:space="preserve">USBLC6-4SC6</t>
  </si>
  <si>
    <t xml:space="preserve">USB ESD protection diode array</t>
  </si>
  <si>
    <t xml:space="preserve">https://www.digikey.com/short/r3115rn5</t>
  </si>
  <si>
    <t xml:space="preserve">BBUP00321611121Y00</t>
  </si>
  <si>
    <t xml:space="preserve">ferrite bead, 6A, 120ohm @100MHz, 12mOhm DCR</t>
  </si>
  <si>
    <t xml:space="preserve">https://www.digikey.com/short/p987nw2q</t>
  </si>
  <si>
    <t xml:space="preserve">MFU0805FF03000P100</t>
  </si>
  <si>
    <t xml:space="preserve">3A single use fuse, 0805 (2012 metric)</t>
  </si>
  <si>
    <t xml:space="preserve">https://www.digikey.com/short/5c8nj9w2</t>
  </si>
  <si>
    <t xml:space="preserve">Panasonic NCR18650GA</t>
  </si>
  <si>
    <t xml:space="preserve">18650 protected cell, 3450mAh, 3.7V</t>
  </si>
  <si>
    <t xml:space="preserve">https://www.18650batterystore.com/products/panasonic-ncr18650ga-3450mah-battery-protected-button-top?variant=46262765060247&amp;utm_source=chatgpt.com</t>
  </si>
  <si>
    <t xml:space="preserve">BH-18650-W</t>
  </si>
  <si>
    <t xml:space="preserve">18650 protected cell battery case</t>
  </si>
  <si>
    <t xml:space="preserve">https://www.digikey.com/short/q5nz23q7</t>
  </si>
  <si>
    <t xml:space="preserve">CC detector so sensing usb-c current</t>
  </si>
  <si>
    <t xml:space="preserve">https://www.digikey.com/short/9wmrww28</t>
  </si>
  <si>
    <t xml:space="preserve">Backup Parts</t>
  </si>
  <si>
    <t xml:space="preserve">Led driver (option 1)</t>
  </si>
  <si>
    <t xml:space="preserve">https://www.digikey.com/en/products/detail/nxp-usa-inc/PCA9634PW-118/1300986</t>
  </si>
  <si>
    <t xml:space="preserve">Led driver (option 2)</t>
  </si>
  <si>
    <t xml:space="preserve">TLC59108FIPWR</t>
  </si>
  <si>
    <t xml:space="preserve">https://www.digikey.com/short/4qmf77vt</t>
  </si>
  <si>
    <t xml:space="preserve">efuse?</t>
  </si>
  <si>
    <t xml:space="preserve">PTC fuse?</t>
  </si>
  <si>
    <t xml:space="preserve">AP33771CFBZ-13-FA01</t>
  </si>
  <si>
    <t xml:space="preserve">Simple usb-c pd controlelr</t>
  </si>
  <si>
    <t xml:space="preserve">https://www.digikey.com/short/fd05pjh9</t>
  </si>
  <si>
    <t xml:space="preserve">USB-C ILIM Calculator</t>
  </si>
  <si>
    <t xml:space="preserve">Update yellow input cells. All effective resistances and worst-case currents recalculate automatically.</t>
  </si>
  <si>
    <t xml:space="preserve">Inputs</t>
  </si>
  <si>
    <t xml:space="preserve">Suggested branch resistors</t>
  </si>
  <si>
    <t xml:space="preserve">K_ILIM Min (A·Ω)</t>
  </si>
  <si>
    <t xml:space="preserve">Ideal R39 for 1.5 A typ (Ω)</t>
  </si>
  <si>
    <t xml:space="preserve">K_ILIM Typ (A·Ω)</t>
  </si>
  <si>
    <t xml:space="preserve">Ideal R40 for 3.0 A typ (Ω)</t>
  </si>
  <si>
    <t xml:space="preserve">K_ILIM Max (A·Ω)</t>
  </si>
  <si>
    <t xml:space="preserve">Resistor tolerance</t>
  </si>
  <si>
    <t xml:space="preserve">Chosen R39 error vs ideal</t>
  </si>
  <si>
    <t xml:space="preserve">Chosen R40 error vs ideal</t>
  </si>
  <si>
    <t xml:space="preserve">R26 base resistor (Ω)</t>
  </si>
  <si>
    <t xml:space="preserve">R39 branch resistor (Ω)</t>
  </si>
  <si>
    <t xml:space="preserve">R40 branch resistor (Ω)</t>
  </si>
  <si>
    <t xml:space="preserve">Target 500 mA mode (mA)</t>
  </si>
  <si>
    <t xml:space="preserve">Target 1.5 A mode (mA)</t>
  </si>
  <si>
    <t xml:space="preserve">Target 3.0 A mode (mA)</t>
  </si>
  <si>
    <t xml:space="preserve">Desired current</t>
  </si>
  <si>
    <t xml:space="preserve">OUT1</t>
  </si>
  <si>
    <t xml:space="preserve">OUT2</t>
  </si>
  <si>
    <t xml:space="preserve">Effective R (Ω)</t>
  </si>
  <si>
    <t xml:space="preserve">R max (Ω)</t>
  </si>
  <si>
    <t xml:space="preserve">R min (Ω)</t>
  </si>
  <si>
    <t xml:space="preserve">Worst LOW (mA)</t>
  </si>
  <si>
    <t xml:space="preserve">Typ (mA)</t>
  </si>
  <si>
    <t xml:space="preserve">Worst HIGH (mA)</t>
  </si>
  <si>
    <t xml:space="preserve">Status</t>
  </si>
  <si>
    <t xml:space="preserve">500 mA / Default</t>
  </si>
  <si>
    <t xml:space="preserve">HIGH</t>
  </si>
  <si>
    <t xml:space="preserve">HIGH (unattached) or LOW (attached)</t>
  </si>
  <si>
    <t xml:space="preserve">1.5 A</t>
  </si>
  <si>
    <t xml:space="preserve">LOW</t>
  </si>
  <si>
    <t xml:space="preserve">3.0 A</t>
  </si>
  <si>
    <t xml:space="preserve">Notes</t>
  </si>
  <si>
    <t xml:space="preserve">OUT1/OUT2 are open-drain indicators from the TUSB321.</t>
  </si>
  <si>
    <t xml:space="preserve">Effective resistance assumes R26 always present; R39 added in 1.5 A and 3.0 A states; R40 added in 3.0 A state.</t>
  </si>
  <si>
    <t xml:space="preserve">Worst-case currents assume all resistor branches share the same ± tolerance percentage.</t>
  </si>
  <si>
    <t xml:space="preserve">You can change B10:B12, B14:B16, or K_ILIM values and the table will update.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</si>
</sst>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%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DDDDD"/>
        <bgColor rgb="FFD9EAD3"/>
      </patternFill>
    </fill>
    <fill>
      <patternFill patternType="solid">
        <fgColor rgb="FF1F4E78"/>
        <bgColor rgb="FF003366"/>
      </patternFill>
    </fill>
    <fill>
      <patternFill patternType="solid">
        <fgColor rgb="FFD9EAF7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9EAD3"/>
      </patternFill>
    </fill>
    <fill>
      <patternFill patternType="solid">
        <fgColor rgb="FFDDEBF7"/>
        <bgColor rgb="FFD9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3" borderId="0" xfId="2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2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4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5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6" borderId="1" xfId="2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9" fillId="5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4" fillId="6" borderId="1" xfId="2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3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0" borderId="1" xfId="2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7" borderId="1" xfId="2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ont>
        <name val="Arial"/>
        <charset val="1"/>
        <family val="2"/>
      </font>
      <fill>
        <patternFill>
          <bgColor rgb="FFD9EAD3"/>
        </patternFill>
      </fill>
    </dxf>
    <dxf>
      <font>
        <name val="Arial"/>
        <charset val="1"/>
        <family val="2"/>
      </font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D9EAD3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igikey.com/short/fd05pjh9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0:J45"/>
  <sheetViews>
    <sheetView showFormulas="false" showGridLines="true" showRowColHeaders="true" showZeros="true" rightToLeft="false" tabSelected="true" showOutlineSymbols="true" defaultGridColor="true" view="normal" topLeftCell="A8" colorId="64" zoomScale="100" zoomScaleNormal="100" zoomScalePageLayoutView="100" workbookViewId="0">
      <selection pane="topLeft" activeCell="L16" activeCellId="0" sqref="L1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27.48"/>
    <col collapsed="false" customWidth="true" hidden="false" outlineLevel="0" max="3" min="3" style="1" width="24.52"/>
  </cols>
  <sheetData>
    <row r="10" customFormat="false" ht="12.8" hidden="false" customHeight="false" outlineLevel="0" collapsed="false"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J10" s="3" t="s">
        <v>6</v>
      </c>
    </row>
    <row r="11" customFormat="false" ht="12.8" hidden="false" customHeight="false" outlineLevel="0" collapsed="false">
      <c r="B11" s="3" t="s">
        <v>7</v>
      </c>
      <c r="C11" s="4" t="s">
        <v>8</v>
      </c>
      <c r="D11" s="3" t="n">
        <v>1</v>
      </c>
      <c r="E11" s="3" t="n">
        <v>0.36</v>
      </c>
      <c r="F11" s="3" t="n">
        <f aca="false">D11*E11</f>
        <v>0.36</v>
      </c>
      <c r="G11" s="3" t="s">
        <v>9</v>
      </c>
      <c r="J11" s="3" t="s">
        <v>10</v>
      </c>
    </row>
    <row r="12" customFormat="false" ht="12.8" hidden="false" customHeight="false" outlineLevel="0" collapsed="false">
      <c r="B12" s="1" t="s">
        <v>11</v>
      </c>
      <c r="C12" s="4" t="s">
        <v>12</v>
      </c>
      <c r="D12" s="1" t="n">
        <v>1</v>
      </c>
      <c r="E12" s="1" t="n">
        <v>0.64</v>
      </c>
      <c r="F12" s="3" t="n">
        <f aca="false">D12*E12</f>
        <v>0.64</v>
      </c>
      <c r="G12" s="1" t="s">
        <v>13</v>
      </c>
    </row>
    <row r="13" customFormat="false" ht="23.45" hidden="false" customHeight="false" outlineLevel="0" collapsed="false">
      <c r="B13" s="1" t="s">
        <v>14</v>
      </c>
      <c r="C13" s="4" t="s">
        <v>15</v>
      </c>
      <c r="D13" s="1" t="n">
        <v>1</v>
      </c>
      <c r="E13" s="1" t="n">
        <v>6.13</v>
      </c>
      <c r="F13" s="3" t="n">
        <f aca="false">D13*E13</f>
        <v>6.13</v>
      </c>
      <c r="G13" s="1" t="s">
        <v>16</v>
      </c>
    </row>
    <row r="14" customFormat="false" ht="12.8" hidden="false" customHeight="false" outlineLevel="0" collapsed="false">
      <c r="B14" s="1" t="s">
        <v>17</v>
      </c>
      <c r="C14" s="4" t="s">
        <v>18</v>
      </c>
      <c r="D14" s="1" t="n">
        <v>1</v>
      </c>
      <c r="E14" s="1" t="n">
        <v>3.62</v>
      </c>
      <c r="F14" s="3" t="n">
        <f aca="false">D14*E14</f>
        <v>3.62</v>
      </c>
      <c r="G14" s="1" t="s">
        <v>19</v>
      </c>
    </row>
    <row r="15" customFormat="false" ht="12.8" hidden="false" customHeight="false" outlineLevel="0" collapsed="false">
      <c r="B15" s="1" t="s">
        <v>20</v>
      </c>
      <c r="C15" s="4" t="s">
        <v>21</v>
      </c>
      <c r="D15" s="1" t="n">
        <v>1</v>
      </c>
      <c r="E15" s="1" t="n">
        <v>2.39</v>
      </c>
      <c r="F15" s="3" t="n">
        <f aca="false">D15*E15</f>
        <v>2.39</v>
      </c>
    </row>
    <row r="16" customFormat="false" ht="45.8" hidden="false" customHeight="false" outlineLevel="0" collapsed="false">
      <c r="B16" s="1" t="s">
        <v>22</v>
      </c>
      <c r="C16" s="4" t="s">
        <v>23</v>
      </c>
      <c r="D16" s="1" t="n">
        <v>1</v>
      </c>
      <c r="E16" s="1" t="n">
        <v>2.51</v>
      </c>
      <c r="F16" s="3" t="n">
        <f aca="false">D16*E16</f>
        <v>2.51</v>
      </c>
      <c r="G16" s="1" t="s">
        <v>24</v>
      </c>
    </row>
    <row r="17" customFormat="false" ht="35.05" hidden="false" customHeight="false" outlineLevel="0" collapsed="false">
      <c r="B17" s="1" t="s">
        <v>25</v>
      </c>
      <c r="C17" s="4" t="s">
        <v>26</v>
      </c>
      <c r="D17" s="1" t="n">
        <v>1</v>
      </c>
      <c r="E17" s="1" t="n">
        <v>0.6</v>
      </c>
      <c r="F17" s="3" t="n">
        <f aca="false">D17*E17</f>
        <v>0.6</v>
      </c>
      <c r="G17" s="1" t="s">
        <v>27</v>
      </c>
    </row>
    <row r="18" customFormat="false" ht="28.9" hidden="false" customHeight="true" outlineLevel="0" collapsed="false">
      <c r="B18" s="1" t="s">
        <v>28</v>
      </c>
      <c r="C18" s="4" t="s">
        <v>29</v>
      </c>
      <c r="D18" s="1" t="n">
        <v>1</v>
      </c>
      <c r="E18" s="1" t="n">
        <v>0.36</v>
      </c>
      <c r="F18" s="3" t="n">
        <f aca="false">D18*E18</f>
        <v>0.36</v>
      </c>
      <c r="G18" s="1" t="s">
        <v>30</v>
      </c>
    </row>
    <row r="19" customFormat="false" ht="23.3" hidden="false" customHeight="false" outlineLevel="0" collapsed="false">
      <c r="B19" s="1" t="s">
        <v>31</v>
      </c>
      <c r="C19" s="4" t="s">
        <v>32</v>
      </c>
      <c r="D19" s="1" t="n">
        <v>1</v>
      </c>
      <c r="E19" s="1" t="n">
        <v>0.21</v>
      </c>
      <c r="F19" s="3" t="n">
        <f aca="false">D19*E19</f>
        <v>0.21</v>
      </c>
      <c r="G19" s="1" t="s">
        <v>33</v>
      </c>
    </row>
    <row r="20" customFormat="false" ht="23.45" hidden="false" customHeight="false" outlineLevel="0" collapsed="false">
      <c r="B20" s="1" t="s">
        <v>34</v>
      </c>
      <c r="C20" s="4" t="s">
        <v>35</v>
      </c>
      <c r="D20" s="1" t="n">
        <v>1</v>
      </c>
      <c r="E20" s="1" t="n">
        <v>0.51</v>
      </c>
      <c r="F20" s="3" t="n">
        <f aca="false">D20*E20</f>
        <v>0.51</v>
      </c>
      <c r="G20" s="1" t="s">
        <v>36</v>
      </c>
    </row>
    <row r="21" customFormat="false" ht="23.45" hidden="false" customHeight="false" outlineLevel="0" collapsed="false">
      <c r="B21" s="1" t="s">
        <v>37</v>
      </c>
      <c r="C21" s="4" t="s">
        <v>38</v>
      </c>
      <c r="F21" s="3" t="n">
        <f aca="false">D21*E21</f>
        <v>0</v>
      </c>
      <c r="G21" s="1" t="s">
        <v>39</v>
      </c>
    </row>
    <row r="22" customFormat="false" ht="23.45" hidden="false" customHeight="false" outlineLevel="0" collapsed="false">
      <c r="B22" s="1" t="s">
        <v>40</v>
      </c>
      <c r="C22" s="4" t="s">
        <v>41</v>
      </c>
      <c r="D22" s="1" t="n">
        <v>1</v>
      </c>
      <c r="E22" s="1" t="n">
        <v>3.54</v>
      </c>
      <c r="F22" s="3" t="n">
        <f aca="false">D22*E22</f>
        <v>3.54</v>
      </c>
      <c r="G22" s="1" t="s">
        <v>42</v>
      </c>
    </row>
    <row r="23" customFormat="false" ht="23.45" hidden="false" customHeight="false" outlineLevel="0" collapsed="false">
      <c r="C23" s="4" t="s">
        <v>43</v>
      </c>
      <c r="D23" s="1" t="n">
        <v>1</v>
      </c>
      <c r="E23" s="1" t="n">
        <v>2.44</v>
      </c>
      <c r="F23" s="3" t="n">
        <f aca="false">D23*E23</f>
        <v>2.44</v>
      </c>
      <c r="G23" s="1" t="s">
        <v>44</v>
      </c>
    </row>
    <row r="24" customFormat="false" ht="12.8" hidden="false" customHeight="true" outlineLevel="0" collapsed="false">
      <c r="C24" s="4"/>
      <c r="F24" s="3" t="n">
        <f aca="false">D24*E24</f>
        <v>0</v>
      </c>
    </row>
    <row r="25" customFormat="false" ht="12.8" hidden="false" customHeight="false" outlineLevel="0" collapsed="false">
      <c r="F25" s="3" t="n">
        <f aca="false">D25*E25</f>
        <v>0</v>
      </c>
    </row>
    <row r="26" customFormat="false" ht="12.8" hidden="false" customHeight="false" outlineLevel="0" collapsed="false">
      <c r="F26" s="3" t="n">
        <f aca="false">D26*E26</f>
        <v>0</v>
      </c>
    </row>
    <row r="27" customFormat="false" ht="12.8" hidden="false" customHeight="true" outlineLevel="0" collapsed="false">
      <c r="C27" s="4"/>
      <c r="F27" s="3" t="n">
        <f aca="false">D27*E27</f>
        <v>0</v>
      </c>
    </row>
    <row r="28" customFormat="false" ht="12.8" hidden="false" customHeight="true" outlineLevel="0" collapsed="false">
      <c r="C28" s="4"/>
      <c r="F28" s="3" t="n">
        <f aca="false">D28*E28</f>
        <v>0</v>
      </c>
    </row>
    <row r="29" customFormat="false" ht="12.8" hidden="false" customHeight="true" outlineLevel="0" collapsed="false">
      <c r="C29" s="4"/>
      <c r="F29" s="3" t="n">
        <f aca="false">D29*E29</f>
        <v>0</v>
      </c>
    </row>
    <row r="30" customFormat="false" ht="12.8" hidden="false" customHeight="true" outlineLevel="0" collapsed="false">
      <c r="C30" s="5"/>
    </row>
    <row r="31" customFormat="false" ht="12.8" hidden="false" customHeight="true" outlineLevel="0" collapsed="false">
      <c r="C31" s="5"/>
    </row>
    <row r="32" customFormat="false" ht="12.8" hidden="false" customHeight="true" outlineLevel="0" collapsed="false">
      <c r="B32" s="2" t="s">
        <v>4</v>
      </c>
      <c r="C32" s="6"/>
      <c r="D32" s="2"/>
      <c r="E32" s="2"/>
      <c r="F32" s="2" t="n">
        <f aca="false">SUM(F11:F31)</f>
        <v>23.31</v>
      </c>
      <c r="G32" s="7"/>
    </row>
    <row r="33" customFormat="false" ht="12.8" hidden="false" customHeight="false" outlineLevel="0" collapsed="false">
      <c r="C33" s="5"/>
    </row>
    <row r="34" customFormat="false" ht="12.8" hidden="false" customHeight="true" outlineLevel="0" collapsed="false">
      <c r="C34" s="5"/>
    </row>
    <row r="35" customFormat="false" ht="12.8" hidden="false" customHeight="true" outlineLevel="0" collapsed="false">
      <c r="C35" s="5"/>
    </row>
    <row r="36" customFormat="false" ht="12.8" hidden="false" customHeight="true" outlineLevel="0" collapsed="false">
      <c r="C36" s="5"/>
    </row>
    <row r="37" customFormat="false" ht="12.8" hidden="false" customHeight="true" outlineLevel="0" collapsed="false">
      <c r="C37" s="4"/>
    </row>
    <row r="38" customFormat="false" ht="12.8" hidden="false" customHeight="true" outlineLevel="0" collapsed="false">
      <c r="C38" s="4"/>
    </row>
    <row r="39" customFormat="false" ht="12.8" hidden="false" customHeight="true" outlineLevel="0" collapsed="false">
      <c r="B39" s="1" t="s">
        <v>45</v>
      </c>
      <c r="C39" s="4"/>
      <c r="F39" s="3" t="n">
        <f aca="false">D39*E39</f>
        <v>0</v>
      </c>
    </row>
    <row r="40" customFormat="false" ht="12.8" hidden="false" customHeight="true" outlineLevel="0" collapsed="false">
      <c r="B40" s="1" t="s">
        <v>46</v>
      </c>
      <c r="C40" s="4"/>
      <c r="F40" s="3" t="n">
        <f aca="false">D40*E40</f>
        <v>0</v>
      </c>
      <c r="G40" s="8" t="s">
        <v>47</v>
      </c>
    </row>
    <row r="41" customFormat="false" ht="12.8" hidden="false" customHeight="true" outlineLevel="0" collapsed="false">
      <c r="B41" s="1" t="s">
        <v>48</v>
      </c>
      <c r="C41" s="4" t="s">
        <v>49</v>
      </c>
      <c r="D41" s="1" t="n">
        <v>1</v>
      </c>
      <c r="E41" s="1" t="n">
        <v>1.9</v>
      </c>
      <c r="F41" s="3" t="n">
        <f aca="false">D41*E41</f>
        <v>1.9</v>
      </c>
      <c r="G41" s="1" t="s">
        <v>50</v>
      </c>
    </row>
    <row r="42" customFormat="false" ht="23.45" hidden="false" customHeight="false" outlineLevel="0" collapsed="false">
      <c r="C42" s="4" t="s">
        <v>43</v>
      </c>
      <c r="D42" s="1" t="n">
        <v>1</v>
      </c>
      <c r="E42" s="1" t="n">
        <v>2.44</v>
      </c>
      <c r="F42" s="3" t="n">
        <f aca="false">D42*E42</f>
        <v>2.44</v>
      </c>
      <c r="G42" s="1" t="s">
        <v>44</v>
      </c>
    </row>
    <row r="43" customFormat="false" ht="12.8" hidden="false" customHeight="true" outlineLevel="0" collapsed="false">
      <c r="C43" s="4" t="s">
        <v>51</v>
      </c>
      <c r="F43" s="3" t="n">
        <f aca="false">D43*E43</f>
        <v>0</v>
      </c>
    </row>
    <row r="44" customFormat="false" ht="12.8" hidden="false" customHeight="true" outlineLevel="0" collapsed="false">
      <c r="C44" s="4" t="s">
        <v>52</v>
      </c>
      <c r="F44" s="3" t="n">
        <f aca="false">D44*E44</f>
        <v>0</v>
      </c>
    </row>
    <row r="45" customFormat="false" ht="12.8" hidden="false" customHeight="true" outlineLevel="0" collapsed="false">
      <c r="B45" s="1" t="s">
        <v>53</v>
      </c>
      <c r="C45" s="4" t="s">
        <v>54</v>
      </c>
      <c r="D45" s="1" t="n">
        <v>1</v>
      </c>
      <c r="E45" s="1" t="n">
        <v>1.26</v>
      </c>
      <c r="F45" s="3" t="n">
        <f aca="false">D45*E45</f>
        <v>1.26</v>
      </c>
      <c r="G45" s="9" t="s">
        <v>55</v>
      </c>
    </row>
  </sheetData>
  <hyperlinks>
    <hyperlink ref="G45" r:id="rId1" display="https://www.digikey.com/short/fd05pjh9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5" activeCellId="0" sqref="R5"/>
    </sheetView>
  </sheetViews>
  <sheetFormatPr defaultColWidth="11.53515625" defaultRowHeight="12.8" customHeight="false" zeroHeight="false" outlineLevelRow="0" outlineLevelCol="0"/>
  <sheetData>
    <row r="1" customFormat="false" ht="17.35" hidden="false" customHeight="false" outlineLevel="0" collapsed="false">
      <c r="A1" s="10" t="s">
        <v>56</v>
      </c>
      <c r="B1" s="10"/>
      <c r="C1" s="10"/>
      <c r="D1" s="10"/>
      <c r="E1" s="10"/>
      <c r="F1" s="10"/>
      <c r="G1" s="10"/>
      <c r="H1" s="10"/>
      <c r="I1" s="10"/>
    </row>
    <row r="2" customFormat="false" ht="13.8" hidden="false" customHeight="true" outlineLevel="0" collapsed="false">
      <c r="A2" s="11" t="s">
        <v>57</v>
      </c>
      <c r="B2" s="11"/>
      <c r="C2" s="11"/>
      <c r="D2" s="11"/>
      <c r="E2" s="11"/>
      <c r="F2" s="11"/>
      <c r="G2" s="11"/>
      <c r="H2" s="11"/>
      <c r="I2" s="11"/>
    </row>
    <row r="4" customFormat="false" ht="39.55" hidden="false" customHeight="false" outlineLevel="0" collapsed="false">
      <c r="A4" s="12" t="s">
        <v>58</v>
      </c>
      <c r="B4" s="13"/>
      <c r="C4" s="13"/>
      <c r="D4" s="12" t="s">
        <v>59</v>
      </c>
      <c r="E4" s="13"/>
      <c r="F4" s="13"/>
      <c r="G4" s="13"/>
      <c r="H4" s="13"/>
      <c r="I4" s="13"/>
      <c r="J4" s="13"/>
    </row>
    <row r="5" customFormat="false" ht="23.85" hidden="false" customHeight="false" outlineLevel="0" collapsed="false">
      <c r="A5" s="14" t="s">
        <v>60</v>
      </c>
      <c r="B5" s="15" t="n">
        <v>459</v>
      </c>
      <c r="C5" s="13"/>
      <c r="D5" s="14" t="s">
        <v>61</v>
      </c>
      <c r="E5" s="16" t="n">
        <f aca="false">1/(1/($B$6/($B$15/1000))-1/$B$10)</f>
        <v>457.520510483136</v>
      </c>
      <c r="F5" s="13"/>
      <c r="G5" s="13"/>
      <c r="H5" s="13"/>
      <c r="I5" s="13"/>
      <c r="J5" s="13"/>
    </row>
    <row r="6" customFormat="false" ht="23.85" hidden="false" customHeight="false" outlineLevel="0" collapsed="false">
      <c r="A6" s="14" t="s">
        <v>62</v>
      </c>
      <c r="B6" s="15" t="n">
        <v>478</v>
      </c>
      <c r="C6" s="13"/>
      <c r="D6" s="14" t="s">
        <v>63</v>
      </c>
      <c r="E6" s="16" t="n">
        <f aca="false">1/(1/($B$6/($B$16/1000))-1/$B$10-1/$E$5)</f>
        <v>318.666666666667</v>
      </c>
      <c r="F6" s="13"/>
      <c r="G6" s="13"/>
      <c r="H6" s="13"/>
      <c r="I6" s="13"/>
      <c r="J6" s="13"/>
    </row>
    <row r="7" customFormat="false" ht="23.85" hidden="false" customHeight="false" outlineLevel="0" collapsed="false">
      <c r="A7" s="14" t="s">
        <v>64</v>
      </c>
      <c r="B7" s="15" t="n">
        <v>500</v>
      </c>
      <c r="C7" s="13"/>
      <c r="D7" s="13"/>
      <c r="E7" s="13"/>
      <c r="F7" s="13"/>
      <c r="G7" s="13"/>
      <c r="H7" s="13"/>
      <c r="I7" s="13"/>
      <c r="J7" s="13"/>
    </row>
    <row r="8" customFormat="false" ht="35.05" hidden="false" customHeight="false" outlineLevel="0" collapsed="false">
      <c r="A8" s="14" t="s">
        <v>65</v>
      </c>
      <c r="B8" s="17" t="n">
        <v>0.01</v>
      </c>
      <c r="C8" s="13"/>
      <c r="D8" s="14" t="s">
        <v>66</v>
      </c>
      <c r="E8" s="18" t="n">
        <f aca="false">($B$11/$E$5)-1</f>
        <v>-0.560675433353258</v>
      </c>
      <c r="F8" s="13"/>
      <c r="G8" s="13"/>
      <c r="H8" s="13"/>
      <c r="I8" s="13"/>
      <c r="J8" s="13"/>
    </row>
    <row r="9" customFormat="false" ht="35.05" hidden="false" customHeight="false" outlineLevel="0" collapsed="false">
      <c r="A9" s="13"/>
      <c r="B9" s="13"/>
      <c r="C9" s="13"/>
      <c r="D9" s="14" t="s">
        <v>67</v>
      </c>
      <c r="E9" s="18" t="n">
        <f aca="false">($B$12/$E$6)-1</f>
        <v>0.581589958158994</v>
      </c>
      <c r="F9" s="13"/>
      <c r="G9" s="13"/>
      <c r="H9" s="13"/>
      <c r="I9" s="13"/>
      <c r="J9" s="13"/>
    </row>
    <row r="10" customFormat="false" ht="23.85" hidden="false" customHeight="false" outlineLevel="0" collapsed="false">
      <c r="A10" s="14" t="s">
        <v>68</v>
      </c>
      <c r="B10" s="15" t="n">
        <v>1050</v>
      </c>
      <c r="C10" s="13"/>
      <c r="D10" s="13"/>
      <c r="E10" s="13"/>
      <c r="F10" s="13"/>
      <c r="G10" s="13"/>
      <c r="H10" s="13"/>
      <c r="I10" s="13"/>
      <c r="J10" s="13"/>
    </row>
    <row r="11" customFormat="false" ht="23.85" hidden="false" customHeight="false" outlineLevel="0" collapsed="false">
      <c r="A11" s="14" t="s">
        <v>69</v>
      </c>
      <c r="B11" s="15" t="n">
        <v>201</v>
      </c>
      <c r="C11" s="13"/>
      <c r="D11" s="13"/>
      <c r="E11" s="13"/>
      <c r="F11" s="13"/>
      <c r="G11" s="13"/>
      <c r="H11" s="13"/>
      <c r="I11" s="13"/>
      <c r="J11" s="13"/>
    </row>
    <row r="12" customFormat="false" ht="23.85" hidden="false" customHeight="false" outlineLevel="0" collapsed="false">
      <c r="A12" s="14" t="s">
        <v>70</v>
      </c>
      <c r="B12" s="15" t="n">
        <v>504</v>
      </c>
      <c r="C12" s="13"/>
      <c r="D12" s="13"/>
      <c r="E12" s="13"/>
      <c r="F12" s="13"/>
      <c r="G12" s="13"/>
      <c r="H12" s="13"/>
      <c r="I12" s="13"/>
      <c r="J12" s="13"/>
    </row>
    <row r="13" customFormat="false" ht="13.8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customFormat="false" ht="34.8" hidden="false" customHeight="false" outlineLevel="0" collapsed="false">
      <c r="A14" s="14" t="s">
        <v>71</v>
      </c>
      <c r="B14" s="15" t="n">
        <v>500</v>
      </c>
      <c r="C14" s="13"/>
      <c r="D14" s="13"/>
      <c r="E14" s="13"/>
      <c r="F14" s="13"/>
      <c r="G14" s="13"/>
      <c r="H14" s="13"/>
      <c r="I14" s="13"/>
      <c r="J14" s="13"/>
    </row>
    <row r="15" customFormat="false" ht="23.85" hidden="false" customHeight="false" outlineLevel="0" collapsed="false">
      <c r="A15" s="14" t="s">
        <v>72</v>
      </c>
      <c r="B15" s="15" t="n">
        <v>1500</v>
      </c>
      <c r="C15" s="13"/>
      <c r="D15" s="13"/>
      <c r="E15" s="13"/>
      <c r="F15" s="13"/>
      <c r="G15" s="13"/>
      <c r="H15" s="13"/>
      <c r="I15" s="13"/>
      <c r="J15" s="13"/>
    </row>
    <row r="16" customFormat="false" ht="23.85" hidden="false" customHeight="false" outlineLevel="0" collapsed="false">
      <c r="A16" s="14" t="s">
        <v>73</v>
      </c>
      <c r="B16" s="15" t="n">
        <v>3000</v>
      </c>
      <c r="C16" s="13"/>
      <c r="D16" s="13"/>
      <c r="E16" s="13"/>
      <c r="F16" s="13"/>
      <c r="G16" s="13"/>
      <c r="H16" s="13"/>
      <c r="I16" s="13"/>
      <c r="J16" s="13"/>
    </row>
    <row r="17" customFormat="false" ht="13.8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customFormat="false" ht="13.8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customFormat="false" ht="13.8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customFormat="false" ht="26.85" hidden="false" customHeight="false" outlineLevel="0" collapsed="false">
      <c r="A20" s="19" t="s">
        <v>74</v>
      </c>
      <c r="B20" s="19" t="s">
        <v>75</v>
      </c>
      <c r="C20" s="19" t="s">
        <v>76</v>
      </c>
      <c r="D20" s="19" t="s">
        <v>77</v>
      </c>
      <c r="E20" s="19" t="s">
        <v>78</v>
      </c>
      <c r="F20" s="19" t="s">
        <v>79</v>
      </c>
      <c r="G20" s="19" t="s">
        <v>80</v>
      </c>
      <c r="H20" s="19" t="s">
        <v>81</v>
      </c>
      <c r="I20" s="19" t="s">
        <v>82</v>
      </c>
      <c r="J20" s="19" t="s">
        <v>83</v>
      </c>
    </row>
    <row r="21" customFormat="false" ht="45.75" hidden="false" customHeight="false" outlineLevel="0" collapsed="false">
      <c r="A21" s="20" t="s">
        <v>84</v>
      </c>
      <c r="B21" s="21" t="s">
        <v>85</v>
      </c>
      <c r="C21" s="21" t="s">
        <v>86</v>
      </c>
      <c r="D21" s="22" t="n">
        <f aca="false">$B$10</f>
        <v>1050</v>
      </c>
      <c r="E21" s="22" t="n">
        <f aca="false">D21*(1+$B$8)</f>
        <v>1060.5</v>
      </c>
      <c r="F21" s="22" t="n">
        <f aca="false">D21*(1-$B$8)</f>
        <v>1039.5</v>
      </c>
      <c r="G21" s="22" t="n">
        <f aca="false">1000*$B$5/E21</f>
        <v>432.814710042433</v>
      </c>
      <c r="H21" s="22" t="n">
        <f aca="false">1000*$B$6/D21</f>
        <v>455.238095238095</v>
      </c>
      <c r="I21" s="22" t="n">
        <f aca="false">1000*$B$7/F21</f>
        <v>481.000481000481</v>
      </c>
      <c r="J21" s="23" t="str">
        <f aca="false">IF(I21&lt;=$B$14,"OK","CHECK")</f>
        <v>OK</v>
      </c>
    </row>
    <row r="22" customFormat="false" ht="13.9" hidden="false" customHeight="false" outlineLevel="0" collapsed="false">
      <c r="A22" s="20" t="s">
        <v>87</v>
      </c>
      <c r="B22" s="21" t="s">
        <v>88</v>
      </c>
      <c r="C22" s="21" t="s">
        <v>85</v>
      </c>
      <c r="D22" s="22" t="n">
        <f aca="false">1/(1/$B$10+1/$B$11)</f>
        <v>168.705035971223</v>
      </c>
      <c r="E22" s="22" t="n">
        <f aca="false">D22*(1+$B$8)</f>
        <v>170.392086330935</v>
      </c>
      <c r="F22" s="22" t="n">
        <f aca="false">D22*(1-$B$8)</f>
        <v>167.017985611511</v>
      </c>
      <c r="G22" s="22" t="n">
        <f aca="false">1000*$B$5/E22</f>
        <v>2693.78707593574</v>
      </c>
      <c r="H22" s="22" t="n">
        <f aca="false">1000*$B$6/D22</f>
        <v>2833.34754797441</v>
      </c>
      <c r="I22" s="22" t="n">
        <f aca="false">1000*$B$7/F22</f>
        <v>2993.68956085374</v>
      </c>
      <c r="J22" s="23" t="str">
        <f aca="false">IF(I22&lt;=$B$15,"OK","CHECK")</f>
        <v>CHECK</v>
      </c>
    </row>
    <row r="23" customFormat="false" ht="13.9" hidden="false" customHeight="false" outlineLevel="0" collapsed="false">
      <c r="A23" s="20" t="s">
        <v>89</v>
      </c>
      <c r="B23" s="21" t="s">
        <v>88</v>
      </c>
      <c r="C23" s="21" t="s">
        <v>88</v>
      </c>
      <c r="D23" s="22" t="n">
        <f aca="false">1/(1/$B$10+1/$B$11+1/$B$12)</f>
        <v>126.396167090882</v>
      </c>
      <c r="E23" s="22" t="n">
        <f aca="false">D23*(1+$B$8)</f>
        <v>127.660128761791</v>
      </c>
      <c r="F23" s="22" t="n">
        <f aca="false">D23*(1-$B$8)</f>
        <v>125.132205419973</v>
      </c>
      <c r="G23" s="22" t="n">
        <f aca="false">1000*$B$5/E23</f>
        <v>3595.48438852414</v>
      </c>
      <c r="H23" s="22" t="n">
        <f aca="false">1000*$B$6/D23</f>
        <v>3781.76024638711</v>
      </c>
      <c r="I23" s="22" t="n">
        <f aca="false">1000*$B$7/F23</f>
        <v>3995.77389627141</v>
      </c>
      <c r="J23" s="23" t="str">
        <f aca="false">IF(I23&lt;=$B$16,"OK","CHECK")</f>
        <v>CHECK</v>
      </c>
    </row>
    <row r="26" customFormat="false" ht="13.8" hidden="false" customHeight="false" outlineLevel="0" collapsed="false">
      <c r="A26" s="24" t="s">
        <v>90</v>
      </c>
      <c r="B26" s="25"/>
      <c r="C26" s="25"/>
      <c r="D26" s="25"/>
      <c r="E26" s="25"/>
      <c r="F26" s="25"/>
      <c r="G26" s="25"/>
      <c r="H26" s="25"/>
      <c r="I26" s="25"/>
      <c r="J26" s="25"/>
    </row>
    <row r="27" customFormat="false" ht="13.8" hidden="false" customHeight="true" outlineLevel="0" collapsed="false">
      <c r="A27" s="26" t="s">
        <v>91</v>
      </c>
      <c r="B27" s="26"/>
      <c r="C27" s="26"/>
      <c r="D27" s="26"/>
      <c r="E27" s="26"/>
      <c r="F27" s="26"/>
      <c r="G27" s="26"/>
      <c r="H27" s="26"/>
      <c r="I27" s="26"/>
      <c r="J27" s="26"/>
    </row>
    <row r="28" customFormat="false" ht="13.8" hidden="false" customHeight="true" outlineLevel="0" collapsed="false">
      <c r="A28" s="26" t="s">
        <v>92</v>
      </c>
      <c r="B28" s="26"/>
      <c r="C28" s="26"/>
      <c r="D28" s="26"/>
      <c r="E28" s="26"/>
      <c r="F28" s="26"/>
      <c r="G28" s="26"/>
      <c r="H28" s="26"/>
      <c r="I28" s="26"/>
      <c r="J28" s="26"/>
    </row>
    <row r="29" customFormat="false" ht="13.8" hidden="false" customHeight="true" outlineLevel="0" collapsed="false">
      <c r="A29" s="26" t="s">
        <v>93</v>
      </c>
      <c r="B29" s="26"/>
      <c r="C29" s="26"/>
      <c r="D29" s="26"/>
      <c r="E29" s="26"/>
      <c r="F29" s="26"/>
      <c r="G29" s="26"/>
      <c r="H29" s="26"/>
      <c r="I29" s="26"/>
      <c r="J29" s="26"/>
    </row>
    <row r="30" customFormat="false" ht="13.8" hidden="false" customHeight="true" outlineLevel="0" collapsed="false">
      <c r="A30" s="26" t="s">
        <v>94</v>
      </c>
      <c r="B30" s="26"/>
      <c r="C30" s="26"/>
      <c r="D30" s="26"/>
      <c r="E30" s="26"/>
      <c r="F30" s="26"/>
      <c r="G30" s="26"/>
      <c r="H30" s="26"/>
      <c r="I30" s="26"/>
      <c r="J30" s="26"/>
    </row>
  </sheetData>
  <mergeCells count="6">
    <mergeCell ref="A1:I1"/>
    <mergeCell ref="A2:I2"/>
    <mergeCell ref="A27:J27"/>
    <mergeCell ref="A28:J28"/>
    <mergeCell ref="A29:J29"/>
    <mergeCell ref="A30:J30"/>
  </mergeCells>
  <conditionalFormatting sqref="J21:J23">
    <cfRule type="expression" priority="2" aboveAverage="0" equalAverage="0" bottom="0" percent="0" rank="0" text="" dxfId="0">
      <formula>J21="OK"</formula>
    </cfRule>
    <cfRule type="expression" priority="3" aboveAverage="0" equalAverage="0" bottom="0" percent="0" rank="0" text="" dxfId="1">
      <formula>J21="CHECK"</formula>
    </cfRule>
  </conditionalFormatting>
  <dataValidations count="2">
    <dataValidation allowBlank="false" errorStyle="stop" operator="greaterThan" showDropDown="false" showErrorMessage="false" showInputMessage="false" sqref="B5:B7 B10:B12 B14:B16" type="decimal">
      <formula1>0</formula1>
      <formula2>0</formula2>
    </dataValidation>
    <dataValidation allowBlank="false" errorStyle="stop" operator="between" showDropDown="false" showErrorMessage="false" showInputMessage="false" sqref="B8" type="decimal">
      <formula1>0</formula1>
      <formula2>0.5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8705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2026-01-27T18:41:55Z</dcterms:created>
  <dc:creator/>
  <dc:description/>
  <dc:language>en-US</dc:language>
  <cp:lastModifiedBy/>
  <dcterms:modified xsi:type="dcterms:W3CDTF">2026-03-17T10:41:27Z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